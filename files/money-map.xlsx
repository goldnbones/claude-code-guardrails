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Budget" sheetId="3" state="visible" r:id="rId3"/>
    <sheet name="Subscriptions" sheetId="4" state="visible" r:id="rId4"/>
    <sheet name="Debt" sheetId="5" state="visible" r:id="rId5"/>
    <sheet name="NetWorth" sheetId="6" state="visible" r:id="rId6"/>
    <sheet name="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;[Red]-&quot;$&quot;#,##0.00"/>
    <numFmt numFmtId="165" formatCode="0.0%"/>
    <numFmt numFmtId="166" formatCode="mmm yyyy"/>
    <numFmt numFmtId="167" formatCode="yyyy-mm-dd"/>
  </numFmts>
  <fonts count="8">
    <font>
      <name val="Calibri"/>
      <family val="2"/>
      <color theme="1"/>
      <sz val="11"/>
      <scheme val="minor"/>
    </font>
    <font>
      <b val="1"/>
      <color rgb="001F2933"/>
      <sz val="18"/>
    </font>
    <font>
      <color rgb="006B7280"/>
      <sz val="10"/>
    </font>
    <font>
      <color rgb="001F2933"/>
    </font>
    <font>
      <b val="1"/>
      <sz val="12"/>
    </font>
    <font>
      <b val="1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0FDF4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164" fontId="0" fillId="2" borderId="1" pivotButton="0" quotePrefix="0" xfId="0"/>
    <xf numFmtId="165" fontId="0" fillId="2" borderId="1" pivotButton="0" quotePrefix="0" xfId="0"/>
    <xf numFmtId="0" fontId="0" fillId="2" borderId="1" pivotButton="0" quotePrefix="0" xfId="0"/>
    <xf numFmtId="0" fontId="4" fillId="0" borderId="0" pivotButton="0" quotePrefix="0" xfId="0"/>
    <xf numFmtId="0" fontId="6" fillId="3" borderId="1" applyAlignment="1" pivotButton="0" quotePrefix="0" xfId="0">
      <alignment vertical="center"/>
    </xf>
    <xf numFmtId="164" fontId="6" fillId="3" borderId="1" applyAlignment="1" pivotButton="0" quotePrefix="0" xfId="0">
      <alignment vertical="center"/>
    </xf>
    <xf numFmtId="164" fontId="5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0" fontId="5" fillId="0" borderId="0" pivotButton="0" quotePrefix="0" xfId="0"/>
    <xf numFmtId="166" fontId="5" fillId="0" borderId="0" pivotButton="0" quotePrefix="0" xfId="0"/>
    <xf numFmtId="164" fontId="0" fillId="0" borderId="1" pivotButton="0" quotePrefix="0" xfId="0"/>
    <xf numFmtId="0" fontId="0" fillId="0" borderId="1" pivotButton="0" quotePrefix="0" xfId="0"/>
    <xf numFmtId="167" fontId="0" fillId="2" borderId="1" pivotButton="0" quotePrefix="0" xfId="0"/>
    <xf numFmtId="165" fontId="0" fillId="0" borderId="0" pivotButton="0" quotePrefix="0" xfId="0"/>
    <xf numFmtId="0" fontId="5" fillId="0" borderId="1" pivotButton="0" quotePrefix="0" xfId="0"/>
    <xf numFmtId="166" fontId="0" fillId="0" borderId="0" pivotButton="0" quotePrefix="0" xfId="0"/>
    <xf numFmtId="164" fontId="7" fillId="0" borderId="0" pivotButton="0" quotePrefix="0" xfId="0"/>
    <xf numFmtId="166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D1FAE5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spending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'Dashboard'!E9</f>
            </strRef>
          </tx>
          <spPr>
            <a:ln>
              <a:prstDash val="solid"/>
            </a:ln>
          </spPr>
          <cat>
            <numRef>
              <f>'Dashboard'!$D$10:$D$19</f>
            </numRef>
          </cat>
          <val>
            <numRef>
              <f>'Dashboard'!$E$10:$E$19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Money Map: start here</t>
        </is>
      </c>
    </row>
    <row r="2">
      <c r="A2" s="2" t="inlineStr">
        <is>
          <t>A 10-minute setup, then 5 minutes a week.</t>
        </is>
      </c>
    </row>
    <row r="4">
      <c r="A4" s="3" t="inlineStr">
        <is>
          <t>1. Dashboard: type your monthly take-home income and savings goal in the green cells.</t>
        </is>
      </c>
    </row>
    <row r="5">
      <c r="A5" s="3" t="inlineStr">
        <is>
          <t>2. Budget: adjust the Planned column to your life. Type Actual amounts as the month goes; each line turns green (OK) or red (Over).</t>
        </is>
      </c>
    </row>
    <row r="6">
      <c r="A6" s="3" t="inlineStr">
        <is>
          <t>3. Subscriptions: list every recurring charge. Mark Keep? = No for the ones you will cancel; the sheet shows what that saves per year.</t>
        </is>
      </c>
    </row>
    <row r="7">
      <c r="A7" s="3" t="inlineStr">
        <is>
          <t>4. Debt: list balances, APR and what you pay each month. Payoff order = avalanche (highest rate first). The Dashboard shows an approximate debt-free date.</t>
        </is>
      </c>
    </row>
    <row r="8">
      <c r="A8" s="3" t="inlineStr">
        <is>
          <t>5. NetWorth: list accounts. Net worth = assets minus the Debt tab.</t>
        </is>
      </c>
    </row>
    <row r="9">
      <c r="A9" s="3" t="inlineStr">
        <is>
          <t>6. Log: at month end, copy Income, Spending and Net worth into the row for that month to build your trend.</t>
        </is>
      </c>
    </row>
    <row r="10">
      <c r="A10" s="3" t="inlineStr"/>
    </row>
    <row r="11">
      <c r="A11" s="3" t="inlineStr">
        <is>
          <t>Google Sheets: File &gt; Import &gt; Upload this file &gt; 'Replace spreadsheet'. Formulas, dropdowns and colors carry over.</t>
        </is>
      </c>
    </row>
    <row r="12">
      <c r="A12" s="3" t="inlineStr">
        <is>
          <t>Excel: opens directly. Numbers (Mac): opens with formulas; charts may look different.</t>
        </is>
      </c>
    </row>
    <row r="13">
      <c r="A13" s="3" t="inlineStr"/>
    </row>
    <row r="14">
      <c r="A14" s="3" t="inlineStr">
        <is>
          <t>Green cells are inputs. Everything else is a formula; if you overwrite one by accident, undo (Ctrl/Cmd+Z).</t>
        </is>
      </c>
    </row>
    <row r="15">
      <c r="A15" s="3" t="inlineStr">
        <is>
          <t>Questions or a broken formula? Message the shop and you get a fixed copy within a 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4" customWidth="1" min="3" max="3"/>
    <col width="28" customWidth="1" min="4" max="4"/>
    <col width="16" customWidth="1" min="5" max="5"/>
  </cols>
  <sheetData>
    <row r="1">
      <c r="A1" s="1" t="inlineStr">
        <is>
          <t>Money Map</t>
        </is>
      </c>
    </row>
    <row r="2">
      <c r="A2" s="2" t="inlineStr">
        <is>
          <t>Fill the green cells on the other tabs. Everything here updates itself.</t>
        </is>
      </c>
    </row>
    <row r="4">
      <c r="A4" s="4" t="inlineStr">
        <is>
          <t>Monthly take-home income</t>
        </is>
      </c>
      <c r="B4" s="5" t="n">
        <v>5200</v>
      </c>
    </row>
    <row r="5">
      <c r="A5" s="4" t="inlineStr">
        <is>
          <t>Savings goal (% of income)</t>
        </is>
      </c>
      <c r="B5" s="6" t="n">
        <v>0.2</v>
      </c>
    </row>
    <row r="6">
      <c r="A6" s="4" t="inlineStr">
        <is>
          <t>Emergency fund target (months of expenses)</t>
        </is>
      </c>
      <c r="B6" s="7" t="n">
        <v>3</v>
      </c>
    </row>
    <row r="8">
      <c r="A8" s="8" t="inlineStr">
        <is>
          <t>This month</t>
        </is>
      </c>
      <c r="D8" s="8" t="inlineStr">
        <is>
          <t>Spending by category</t>
        </is>
      </c>
    </row>
    <row r="9" ht="20" customHeight="1">
      <c r="A9" s="9" t="inlineStr"/>
      <c r="B9" s="10" t="inlineStr"/>
      <c r="C9" s="9" t="inlineStr"/>
      <c r="D9" s="9" t="inlineStr">
        <is>
          <t>Category</t>
        </is>
      </c>
      <c r="E9" s="9" t="inlineStr">
        <is>
          <t>Actual</t>
        </is>
      </c>
    </row>
    <row r="10">
      <c r="A10" s="4" t="inlineStr">
        <is>
          <t>Actual spending</t>
        </is>
      </c>
      <c r="B10" s="11">
        <f>SUM(Budget!D5:D34)</f>
        <v/>
      </c>
      <c r="D10">
        <f>Budget!A5</f>
        <v/>
      </c>
      <c r="E10" s="12">
        <f>Budget!D5</f>
        <v/>
      </c>
    </row>
    <row r="11">
      <c r="A11" s="4" t="inlineStr">
        <is>
          <t>Left to spend</t>
        </is>
      </c>
      <c r="B11" s="11">
        <f>B4-B10</f>
        <v/>
      </c>
      <c r="D11">
        <f>Budget!A6</f>
        <v/>
      </c>
      <c r="E11" s="12">
        <f>Budget!D6</f>
        <v/>
      </c>
    </row>
    <row r="12">
      <c r="A12" s="4" t="inlineStr">
        <is>
          <t>Subscriptions per month</t>
        </is>
      </c>
      <c r="B12" s="11">
        <f>Subscriptions!H3</f>
        <v/>
      </c>
      <c r="D12">
        <f>Budget!A7</f>
        <v/>
      </c>
      <c r="E12" s="12">
        <f>Budget!D7</f>
        <v/>
      </c>
    </row>
    <row r="13">
      <c r="A13" s="4" t="inlineStr">
        <is>
          <t>Subscriptions per year</t>
        </is>
      </c>
      <c r="B13" s="11">
        <f>Subscriptions!H4</f>
        <v/>
      </c>
      <c r="D13">
        <f>Budget!A8</f>
        <v/>
      </c>
      <c r="E13" s="12">
        <f>Budget!D8</f>
        <v/>
      </c>
    </row>
    <row r="14">
      <c r="A14" s="4" t="inlineStr">
        <is>
          <t>Savings this month</t>
        </is>
      </c>
      <c r="B14" s="11">
        <f>B4-B10</f>
        <v/>
      </c>
      <c r="D14">
        <f>Budget!A9</f>
        <v/>
      </c>
      <c r="E14" s="12">
        <f>Budget!D9</f>
        <v/>
      </c>
    </row>
    <row r="15">
      <c r="A15" s="4" t="inlineStr">
        <is>
          <t>Savings rate</t>
        </is>
      </c>
      <c r="B15" s="13">
        <f>IF(B4=0,0,B14/B4)</f>
        <v/>
      </c>
      <c r="D15">
        <f>Budget!A10</f>
        <v/>
      </c>
      <c r="E15" s="12">
        <f>Budget!D10</f>
        <v/>
      </c>
    </row>
    <row r="16">
      <c r="A16" s="4" t="inlineStr">
        <is>
          <t>Savings goal</t>
        </is>
      </c>
      <c r="B16" s="11">
        <f>B4*B5</f>
        <v/>
      </c>
      <c r="D16">
        <f>Budget!A11</f>
        <v/>
      </c>
      <c r="E16" s="12">
        <f>Budget!D11</f>
        <v/>
      </c>
    </row>
    <row r="17">
      <c r="A17" s="4" t="inlineStr">
        <is>
          <t>On track?</t>
        </is>
      </c>
      <c r="B17" s="14">
        <f>IF(B14&gt;=B16,"Yes","No, short by "&amp;TEXT(B16-B14,"$#,##0"))</f>
        <v/>
      </c>
      <c r="D17">
        <f>Budget!A12</f>
        <v/>
      </c>
      <c r="E17" s="12">
        <f>Budget!D12</f>
        <v/>
      </c>
    </row>
    <row r="18">
      <c r="A18" s="4" t="inlineStr">
        <is>
          <t>Emergency fund target</t>
        </is>
      </c>
      <c r="B18" s="11">
        <f>B9*B6</f>
        <v/>
      </c>
      <c r="D18">
        <f>Budget!A13</f>
        <v/>
      </c>
      <c r="E18" s="12">
        <f>Budget!D13</f>
        <v/>
      </c>
    </row>
    <row r="19">
      <c r="A19" s="4" t="inlineStr">
        <is>
          <t>Total debt</t>
        </is>
      </c>
      <c r="B19" s="11">
        <f>Debt!G3</f>
        <v/>
      </c>
      <c r="D19">
        <f>Budget!A14</f>
        <v/>
      </c>
      <c r="E19" s="12">
        <f>Budget!D14</f>
        <v/>
      </c>
    </row>
    <row r="20">
      <c r="A20" s="4" t="inlineStr">
        <is>
          <t>Debt-free date (avalanche)</t>
        </is>
      </c>
      <c r="B20" s="15">
        <f>Debt!G6</f>
        <v/>
      </c>
    </row>
    <row r="21">
      <c r="A21" s="4" t="inlineStr">
        <is>
          <t>Net worth</t>
        </is>
      </c>
      <c r="B21" s="11">
        <f>NetWorth!D3</f>
        <v/>
      </c>
    </row>
  </sheetData>
  <conditionalFormatting sqref="B17">
    <cfRule type="expression" priority="1" dxfId="0">
      <formula>LEFT(B17,3)="Yes"</formula>
    </cfRule>
    <cfRule type="expression" priority="2" dxfId="1">
      <formula>LEFT(B17,2)="No"</formula>
    </cfRule>
  </conditionalFormatting>
  <conditionalFormatting sqref="B11">
    <cfRule type="cellIs" priority="3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14" customWidth="1" min="4" max="4"/>
    <col width="14" customWidth="1" min="5" max="5"/>
    <col width="10" customWidth="1" min="6" max="6"/>
  </cols>
  <sheetData>
    <row r="1">
      <c r="A1" s="1" t="inlineStr">
        <is>
          <t>Monthly budget</t>
        </is>
      </c>
    </row>
    <row r="2">
      <c r="A2" s="2" t="inlineStr">
        <is>
          <t>Green = you type. Planned vs actual, with the difference and a status per line.</t>
        </is>
      </c>
    </row>
    <row r="4" ht="20" customHeight="1">
      <c r="A4" s="9" t="inlineStr">
        <is>
          <t>Category</t>
        </is>
      </c>
      <c r="B4" s="9" t="inlineStr">
        <is>
          <t>Notes</t>
        </is>
      </c>
      <c r="C4" s="9" t="inlineStr">
        <is>
          <t>Planned</t>
        </is>
      </c>
      <c r="D4" s="9" t="inlineStr">
        <is>
          <t>Actual</t>
        </is>
      </c>
      <c r="E4" s="9" t="inlineStr">
        <is>
          <t>Difference</t>
        </is>
      </c>
      <c r="F4" s="9" t="inlineStr">
        <is>
          <t>Status</t>
        </is>
      </c>
    </row>
    <row r="5">
      <c r="A5" s="7" t="inlineStr">
        <is>
          <t>Rent / mortgage</t>
        </is>
      </c>
      <c r="B5" s="7" t="n"/>
      <c r="C5" s="5" t="n">
        <v>1800</v>
      </c>
      <c r="D5" s="5" t="n">
        <v>0</v>
      </c>
      <c r="E5" s="16">
        <f>C5-D5</f>
        <v/>
      </c>
      <c r="F5" s="17">
        <f>IF(D5=0,"",IF(D5&gt;C5,"Over","OK"))</f>
        <v/>
      </c>
    </row>
    <row r="6">
      <c r="A6" s="7" t="inlineStr">
        <is>
          <t>Utilities</t>
        </is>
      </c>
      <c r="B6" s="7" t="n"/>
      <c r="C6" s="5" t="n">
        <v>180</v>
      </c>
      <c r="D6" s="5" t="n">
        <v>0</v>
      </c>
      <c r="E6" s="16">
        <f>C6-D6</f>
        <v/>
      </c>
      <c r="F6" s="17">
        <f>IF(D6=0,"",IF(D6&gt;C6,"Over","OK"))</f>
        <v/>
      </c>
    </row>
    <row r="7">
      <c r="A7" s="7" t="inlineStr">
        <is>
          <t>Groceries</t>
        </is>
      </c>
      <c r="B7" s="7" t="n"/>
      <c r="C7" s="5" t="n">
        <v>450</v>
      </c>
      <c r="D7" s="5" t="n">
        <v>0</v>
      </c>
      <c r="E7" s="16">
        <f>C7-D7</f>
        <v/>
      </c>
      <c r="F7" s="17">
        <f>IF(D7=0,"",IF(D7&gt;C7,"Over","OK"))</f>
        <v/>
      </c>
    </row>
    <row r="8">
      <c r="A8" s="7" t="inlineStr">
        <is>
          <t>Dining out</t>
        </is>
      </c>
      <c r="B8" s="7" t="n"/>
      <c r="C8" s="5" t="n">
        <v>220</v>
      </c>
      <c r="D8" s="5" t="n">
        <v>0</v>
      </c>
      <c r="E8" s="16">
        <f>C8-D8</f>
        <v/>
      </c>
      <c r="F8" s="17">
        <f>IF(D8=0,"",IF(D8&gt;C8,"Over","OK"))</f>
        <v/>
      </c>
    </row>
    <row r="9">
      <c r="A9" s="7" t="inlineStr">
        <is>
          <t>Transport</t>
        </is>
      </c>
      <c r="B9" s="7" t="n"/>
      <c r="C9" s="5" t="n">
        <v>160</v>
      </c>
      <c r="D9" s="5" t="n">
        <v>0</v>
      </c>
      <c r="E9" s="16">
        <f>C9-D9</f>
        <v/>
      </c>
      <c r="F9" s="17">
        <f>IF(D9=0,"",IF(D9&gt;C9,"Over","OK"))</f>
        <v/>
      </c>
    </row>
    <row r="10">
      <c r="A10" s="7" t="inlineStr">
        <is>
          <t>Phone + internet</t>
        </is>
      </c>
      <c r="B10" s="7" t="n"/>
      <c r="C10" s="5" t="n">
        <v>110</v>
      </c>
      <c r="D10" s="5" t="n">
        <v>0</v>
      </c>
      <c r="E10" s="16">
        <f>C10-D10</f>
        <v/>
      </c>
      <c r="F10" s="17">
        <f>IF(D10=0,"",IF(D10&gt;C10,"Over","OK"))</f>
        <v/>
      </c>
    </row>
    <row r="11">
      <c r="A11" s="7" t="inlineStr">
        <is>
          <t>Insurance</t>
        </is>
      </c>
      <c r="B11" s="7" t="n"/>
      <c r="C11" s="5" t="n">
        <v>140</v>
      </c>
      <c r="D11" s="5" t="n">
        <v>0</v>
      </c>
      <c r="E11" s="16">
        <f>C11-D11</f>
        <v/>
      </c>
      <c r="F11" s="17">
        <f>IF(D11=0,"",IF(D11&gt;C11,"Over","OK"))</f>
        <v/>
      </c>
    </row>
    <row r="12">
      <c r="A12" s="7" t="inlineStr">
        <is>
          <t>Health</t>
        </is>
      </c>
      <c r="B12" s="7" t="n"/>
      <c r="C12" s="5" t="n">
        <v>90</v>
      </c>
      <c r="D12" s="5" t="n">
        <v>0</v>
      </c>
      <c r="E12" s="16">
        <f>C12-D12</f>
        <v/>
      </c>
      <c r="F12" s="17">
        <f>IF(D12=0,"",IF(D12&gt;C12,"Over","OK"))</f>
        <v/>
      </c>
    </row>
    <row r="13">
      <c r="A13" s="7" t="inlineStr">
        <is>
          <t>Subscriptions</t>
        </is>
      </c>
      <c r="B13" s="7" t="n"/>
      <c r="C13" s="5">
        <f>Subscriptions!H3</f>
        <v/>
      </c>
      <c r="D13" s="5" t="n">
        <v>0</v>
      </c>
      <c r="E13" s="16">
        <f>C13-D13</f>
        <v/>
      </c>
      <c r="F13" s="17">
        <f>IF(D13=0,"",IF(D13&gt;C13,"Over","OK"))</f>
        <v/>
      </c>
    </row>
    <row r="14">
      <c r="A14" s="7" t="inlineStr">
        <is>
          <t>Fun</t>
        </is>
      </c>
      <c r="B14" s="7" t="n"/>
      <c r="C14" s="5" t="n">
        <v>150</v>
      </c>
      <c r="D14" s="5" t="n">
        <v>0</v>
      </c>
      <c r="E14" s="16">
        <f>C14-D14</f>
        <v/>
      </c>
      <c r="F14" s="17">
        <f>IF(D14=0,"",IF(D14&gt;C14,"Over","OK"))</f>
        <v/>
      </c>
    </row>
    <row r="15">
      <c r="A15" s="7" t="inlineStr">
        <is>
          <t>Clothing</t>
        </is>
      </c>
      <c r="B15" s="7" t="n"/>
      <c r="C15" s="5" t="n">
        <v>60</v>
      </c>
      <c r="D15" s="5" t="n">
        <v>0</v>
      </c>
      <c r="E15" s="16">
        <f>C15-D15</f>
        <v/>
      </c>
      <c r="F15" s="17">
        <f>IF(D15=0,"",IF(D15&gt;C15,"Over","OK"))</f>
        <v/>
      </c>
    </row>
    <row r="16">
      <c r="A16" s="7" t="inlineStr">
        <is>
          <t>Gifts</t>
        </is>
      </c>
      <c r="B16" s="7" t="n"/>
      <c r="C16" s="5" t="n">
        <v>40</v>
      </c>
      <c r="D16" s="5" t="n">
        <v>0</v>
      </c>
      <c r="E16" s="16">
        <f>C16-D16</f>
        <v/>
      </c>
      <c r="F16" s="17">
        <f>IF(D16=0,"",IF(D16&gt;C16,"Over","OK"))</f>
        <v/>
      </c>
    </row>
    <row r="17">
      <c r="A17" s="7" t="inlineStr">
        <is>
          <t>Savings transfer</t>
        </is>
      </c>
      <c r="B17" s="7" t="n"/>
      <c r="C17" s="5" t="n">
        <v>800</v>
      </c>
      <c r="D17" s="5" t="n">
        <v>0</v>
      </c>
      <c r="E17" s="16">
        <f>C17-D17</f>
        <v/>
      </c>
      <c r="F17" s="17">
        <f>IF(D17=0,"",IF(D17&gt;C17,"Over","OK"))</f>
        <v/>
      </c>
    </row>
    <row r="18">
      <c r="A18" s="7" t="inlineStr">
        <is>
          <t>Debt payments</t>
        </is>
      </c>
      <c r="B18" s="7" t="n"/>
      <c r="C18" s="5">
        <f>Debt!G4</f>
        <v/>
      </c>
      <c r="D18" s="5" t="n">
        <v>0</v>
      </c>
      <c r="E18" s="16">
        <f>C18-D18</f>
        <v/>
      </c>
      <c r="F18" s="17">
        <f>IF(D18=0,"",IF(D18&gt;C18,"Over","OK"))</f>
        <v/>
      </c>
    </row>
    <row r="19">
      <c r="A19" s="7" t="inlineStr">
        <is>
          <t>Other</t>
        </is>
      </c>
      <c r="B19" s="7" t="n"/>
      <c r="C19" s="5" t="n">
        <v>100</v>
      </c>
      <c r="D19" s="5" t="n">
        <v>0</v>
      </c>
      <c r="E19" s="16">
        <f>C19-D19</f>
        <v/>
      </c>
      <c r="F19" s="17">
        <f>IF(D19=0,"",IF(D19&gt;C19,"Over","OK"))</f>
        <v/>
      </c>
    </row>
    <row r="20">
      <c r="A20" s="7" t="n"/>
      <c r="B20" s="7" t="n"/>
      <c r="C20" s="5" t="n"/>
      <c r="D20" s="5" t="n"/>
      <c r="E20" s="16">
        <f>IF(OR(C20&lt;&gt;"",D20&lt;&gt;""),C20-D20,"")</f>
        <v/>
      </c>
      <c r="F20" s="17">
        <f>IF(D20="","",IF(D20&gt;C20,"Over","OK"))</f>
        <v/>
      </c>
    </row>
    <row r="21">
      <c r="A21" s="7" t="n"/>
      <c r="B21" s="7" t="n"/>
      <c r="C21" s="5" t="n"/>
      <c r="D21" s="5" t="n"/>
      <c r="E21" s="16">
        <f>IF(OR(C21&lt;&gt;"",D21&lt;&gt;""),C21-D21,"")</f>
        <v/>
      </c>
      <c r="F21" s="17">
        <f>IF(D21="","",IF(D21&gt;C21,"Over","OK"))</f>
        <v/>
      </c>
    </row>
    <row r="22">
      <c r="A22" s="7" t="n"/>
      <c r="B22" s="7" t="n"/>
      <c r="C22" s="5" t="n"/>
      <c r="D22" s="5" t="n"/>
      <c r="E22" s="16">
        <f>IF(OR(C22&lt;&gt;"",D22&lt;&gt;""),C22-D22,"")</f>
        <v/>
      </c>
      <c r="F22" s="17">
        <f>IF(D22="","",IF(D22&gt;C22,"Over","OK"))</f>
        <v/>
      </c>
    </row>
    <row r="23">
      <c r="A23" s="7" t="n"/>
      <c r="B23" s="7" t="n"/>
      <c r="C23" s="5" t="n"/>
      <c r="D23" s="5" t="n"/>
      <c r="E23" s="16">
        <f>IF(OR(C23&lt;&gt;"",D23&lt;&gt;""),C23-D23,"")</f>
        <v/>
      </c>
      <c r="F23" s="17">
        <f>IF(D23="","",IF(D23&gt;C23,"Over","OK"))</f>
        <v/>
      </c>
    </row>
    <row r="24">
      <c r="A24" s="7" t="n"/>
      <c r="B24" s="7" t="n"/>
      <c r="C24" s="5" t="n"/>
      <c r="D24" s="5" t="n"/>
      <c r="E24" s="16">
        <f>IF(OR(C24&lt;&gt;"",D24&lt;&gt;""),C24-D24,"")</f>
        <v/>
      </c>
      <c r="F24" s="17">
        <f>IF(D24="","",IF(D24&gt;C24,"Over","OK"))</f>
        <v/>
      </c>
    </row>
    <row r="25">
      <c r="A25" s="7" t="n"/>
      <c r="B25" s="7" t="n"/>
      <c r="C25" s="5" t="n"/>
      <c r="D25" s="5" t="n"/>
      <c r="E25" s="16">
        <f>IF(OR(C25&lt;&gt;"",D25&lt;&gt;""),C25-D25,"")</f>
        <v/>
      </c>
      <c r="F25" s="17">
        <f>IF(D25="","",IF(D25&gt;C25,"Over","OK"))</f>
        <v/>
      </c>
    </row>
    <row r="26">
      <c r="A26" s="7" t="n"/>
      <c r="B26" s="7" t="n"/>
      <c r="C26" s="5" t="n"/>
      <c r="D26" s="5" t="n"/>
      <c r="E26" s="16">
        <f>IF(OR(C26&lt;&gt;"",D26&lt;&gt;""),C26-D26,"")</f>
        <v/>
      </c>
      <c r="F26" s="17">
        <f>IF(D26="","",IF(D26&gt;C26,"Over","OK"))</f>
        <v/>
      </c>
    </row>
    <row r="27">
      <c r="A27" s="7" t="n"/>
      <c r="B27" s="7" t="n"/>
      <c r="C27" s="5" t="n"/>
      <c r="D27" s="5" t="n"/>
      <c r="E27" s="16">
        <f>IF(OR(C27&lt;&gt;"",D27&lt;&gt;""),C27-D27,"")</f>
        <v/>
      </c>
      <c r="F27" s="17">
        <f>IF(D27="","",IF(D27&gt;C27,"Over","OK"))</f>
        <v/>
      </c>
    </row>
    <row r="28">
      <c r="A28" s="7" t="n"/>
      <c r="B28" s="7" t="n"/>
      <c r="C28" s="5" t="n"/>
      <c r="D28" s="5" t="n"/>
      <c r="E28" s="16">
        <f>IF(OR(C28&lt;&gt;"",D28&lt;&gt;""),C28-D28,"")</f>
        <v/>
      </c>
      <c r="F28" s="17">
        <f>IF(D28="","",IF(D28&gt;C28,"Over","OK"))</f>
        <v/>
      </c>
    </row>
    <row r="29">
      <c r="A29" s="7" t="n"/>
      <c r="B29" s="7" t="n"/>
      <c r="C29" s="5" t="n"/>
      <c r="D29" s="5" t="n"/>
      <c r="E29" s="16">
        <f>IF(OR(C29&lt;&gt;"",D29&lt;&gt;""),C29-D29,"")</f>
        <v/>
      </c>
      <c r="F29" s="17">
        <f>IF(D29="","",IF(D29&gt;C29,"Over","OK"))</f>
        <v/>
      </c>
    </row>
    <row r="30">
      <c r="A30" s="7" t="n"/>
      <c r="B30" s="7" t="n"/>
      <c r="C30" s="5" t="n"/>
      <c r="D30" s="5" t="n"/>
      <c r="E30" s="16">
        <f>IF(OR(C30&lt;&gt;"",D30&lt;&gt;""),C30-D30,"")</f>
        <v/>
      </c>
      <c r="F30" s="17">
        <f>IF(D30="","",IF(D30&gt;C30,"Over","OK"))</f>
        <v/>
      </c>
    </row>
    <row r="31">
      <c r="A31" s="7" t="n"/>
      <c r="B31" s="7" t="n"/>
      <c r="C31" s="5" t="n"/>
      <c r="D31" s="5" t="n"/>
      <c r="E31" s="16">
        <f>IF(OR(C31&lt;&gt;"",D31&lt;&gt;""),C31-D31,"")</f>
        <v/>
      </c>
      <c r="F31" s="17">
        <f>IF(D31="","",IF(D31&gt;C31,"Over","OK"))</f>
        <v/>
      </c>
    </row>
    <row r="32">
      <c r="A32" s="7" t="n"/>
      <c r="B32" s="7" t="n"/>
      <c r="C32" s="5" t="n"/>
      <c r="D32" s="5" t="n"/>
      <c r="E32" s="16">
        <f>IF(OR(C32&lt;&gt;"",D32&lt;&gt;""),C32-D32,"")</f>
        <v/>
      </c>
      <c r="F32" s="17">
        <f>IF(D32="","",IF(D32&gt;C32,"Over","OK"))</f>
        <v/>
      </c>
    </row>
    <row r="33">
      <c r="A33" s="7" t="n"/>
      <c r="B33" s="7" t="n"/>
      <c r="C33" s="5" t="n"/>
      <c r="D33" s="5" t="n"/>
      <c r="E33" s="16">
        <f>IF(OR(C33&lt;&gt;"",D33&lt;&gt;""),C33-D33,"")</f>
        <v/>
      </c>
      <c r="F33" s="17">
        <f>IF(D33="","",IF(D33&gt;C33,"Over","OK"))</f>
        <v/>
      </c>
    </row>
    <row r="34">
      <c r="A34" s="7" t="n"/>
      <c r="B34" s="7" t="n"/>
      <c r="C34" s="5" t="n"/>
      <c r="D34" s="5" t="n"/>
      <c r="E34" s="16">
        <f>IF(OR(C34&lt;&gt;"",D34&lt;&gt;""),C34-D34,"")</f>
        <v/>
      </c>
      <c r="F34" s="17">
        <f>IF(D34="","",IF(D34&gt;C34,"Over","OK"))</f>
        <v/>
      </c>
    </row>
    <row r="36">
      <c r="A36" s="14" t="inlineStr">
        <is>
          <t>Total</t>
        </is>
      </c>
      <c r="C36" s="11">
        <f>SUM(C5:C34)</f>
        <v/>
      </c>
      <c r="D36" s="11">
        <f>SUM(D5:D34)</f>
        <v/>
      </c>
      <c r="E36" s="11">
        <f>SUM(E5:E34)</f>
        <v/>
      </c>
    </row>
  </sheetData>
  <conditionalFormatting sqref="F5:F34">
    <cfRule type="expression" priority="1" dxfId="1">
      <formula>F5="Over"</formula>
    </cfRule>
    <cfRule type="expression" priority="2" dxfId="0">
      <formula>F5="OK"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4" customWidth="1" min="4" max="4"/>
    <col width="14" customWidth="1" min="5" max="5"/>
    <col width="8" customWidth="1" min="6" max="6"/>
    <col width="16" customWidth="1" min="7" max="7"/>
    <col width="14" customWidth="1" min="8" max="8"/>
  </cols>
  <sheetData>
    <row r="1">
      <c r="A1" s="1" t="inlineStr">
        <is>
          <t>Subscription tracker</t>
        </is>
      </c>
    </row>
    <row r="2">
      <c r="A2" s="2" t="inlineStr">
        <is>
          <t>Every recurring charge in one place. Monthly and yearly cost, next renewal, and a keep/cancel call.</t>
        </is>
      </c>
    </row>
    <row r="3">
      <c r="G3" s="14" t="inlineStr">
        <is>
          <t>Per month</t>
        </is>
      </c>
      <c r="H3" s="12">
        <f>SUMPRODUCT((F6:F60="Yes")*(E6:E60))</f>
        <v/>
      </c>
    </row>
    <row r="4">
      <c r="G4" s="14" t="inlineStr">
        <is>
          <t>Per year</t>
        </is>
      </c>
      <c r="H4" s="12">
        <f>H3*12</f>
        <v/>
      </c>
    </row>
    <row r="5" ht="20" customHeight="1">
      <c r="A5" s="9" t="inlineStr">
        <is>
          <t>Service</t>
        </is>
      </c>
      <c r="B5" s="9" t="inlineStr">
        <is>
          <t>Cost</t>
        </is>
      </c>
      <c r="C5" s="9" t="inlineStr">
        <is>
          <t>Billing</t>
        </is>
      </c>
      <c r="D5" s="9" t="inlineStr">
        <is>
          <t>Next renewal</t>
        </is>
      </c>
      <c r="E5" s="9" t="inlineStr">
        <is>
          <t>Monthly cost</t>
        </is>
      </c>
      <c r="F5" s="9" t="inlineStr">
        <is>
          <t>Keep?</t>
        </is>
      </c>
      <c r="G5" s="9" t="inlineStr">
        <is>
          <t>Days to renewal</t>
        </is>
      </c>
      <c r="H5" s="12">
        <f>SUMPRODUCT((F6:F60="No")*(E6:E60))*12</f>
        <v/>
      </c>
    </row>
    <row r="6">
      <c r="A6" s="7" t="inlineStr">
        <is>
          <t>Spotify</t>
        </is>
      </c>
      <c r="B6" s="5" t="n">
        <v>11.99</v>
      </c>
      <c r="C6" s="7" t="inlineStr">
        <is>
          <t>Monthly</t>
        </is>
      </c>
      <c r="D6" s="18" t="n"/>
      <c r="E6" s="16">
        <f>IF(B6="","",IF(C6="Yearly",B6/12,IF(C6="Weekly",B6*52/12,B6)))</f>
        <v/>
      </c>
      <c r="F6" s="7" t="inlineStr">
        <is>
          <t>Yes</t>
        </is>
      </c>
      <c r="G6" s="17">
        <f>IF(D6="","",D6-TODAY())</f>
        <v/>
      </c>
    </row>
    <row r="7">
      <c r="A7" s="7" t="inlineStr">
        <is>
          <t>Netflix</t>
        </is>
      </c>
      <c r="B7" s="5" t="n">
        <v>15.49</v>
      </c>
      <c r="C7" s="7" t="inlineStr">
        <is>
          <t>Monthly</t>
        </is>
      </c>
      <c r="D7" s="18" t="n"/>
      <c r="E7" s="16">
        <f>IF(B7="","",IF(C7="Yearly",B7/12,IF(C7="Weekly",B7*52/12,B7)))</f>
        <v/>
      </c>
      <c r="F7" s="7" t="inlineStr">
        <is>
          <t>Yes</t>
        </is>
      </c>
      <c r="G7" s="17">
        <f>IF(D7="","",D7-TODAY())</f>
        <v/>
      </c>
    </row>
    <row r="8">
      <c r="A8" s="7" t="inlineStr">
        <is>
          <t>iCloud 200GB</t>
        </is>
      </c>
      <c r="B8" s="5" t="n">
        <v>2.99</v>
      </c>
      <c r="C8" s="7" t="inlineStr">
        <is>
          <t>Monthly</t>
        </is>
      </c>
      <c r="D8" s="18" t="n"/>
      <c r="E8" s="16">
        <f>IF(B8="","",IF(C8="Yearly",B8/12,IF(C8="Weekly",B8*52/12,B8)))</f>
        <v/>
      </c>
      <c r="F8" s="7" t="inlineStr">
        <is>
          <t>Yes</t>
        </is>
      </c>
      <c r="G8" s="17">
        <f>IF(D8="","",D8-TODAY())</f>
        <v/>
      </c>
    </row>
    <row r="9">
      <c r="A9" s="7" t="inlineStr">
        <is>
          <t>Gym</t>
        </is>
      </c>
      <c r="B9" s="5" t="n">
        <v>45</v>
      </c>
      <c r="C9" s="7" t="inlineStr">
        <is>
          <t>Monthly</t>
        </is>
      </c>
      <c r="D9" s="18" t="n"/>
      <c r="E9" s="16">
        <f>IF(B9="","",IF(C9="Yearly",B9/12,IF(C9="Weekly",B9*52/12,B9)))</f>
        <v/>
      </c>
      <c r="F9" s="7" t="inlineStr">
        <is>
          <t>Yes</t>
        </is>
      </c>
      <c r="G9" s="17">
        <f>IF(D9="","",D9-TODAY())</f>
        <v/>
      </c>
    </row>
    <row r="10">
      <c r="A10" s="7" t="inlineStr">
        <is>
          <t>Adobe Creative Cloud</t>
        </is>
      </c>
      <c r="B10" s="5" t="n">
        <v>59.99</v>
      </c>
      <c r="C10" s="7" t="inlineStr">
        <is>
          <t>Monthly</t>
        </is>
      </c>
      <c r="D10" s="18" t="n"/>
      <c r="E10" s="16">
        <f>IF(B10="","",IF(C10="Yearly",B10/12,IF(C10="Weekly",B10*52/12,B10)))</f>
        <v/>
      </c>
      <c r="F10" s="7" t="inlineStr">
        <is>
          <t>No</t>
        </is>
      </c>
      <c r="G10" s="17">
        <f>IF(D10="","",D10-TODAY())</f>
        <v/>
      </c>
    </row>
    <row r="11">
      <c r="A11" s="7" t="inlineStr">
        <is>
          <t>Amazon Prime</t>
        </is>
      </c>
      <c r="B11" s="5" t="n">
        <v>139</v>
      </c>
      <c r="C11" s="7" t="inlineStr">
        <is>
          <t>Yearly</t>
        </is>
      </c>
      <c r="D11" s="18" t="n"/>
      <c r="E11" s="16">
        <f>IF(B11="","",IF(C11="Yearly",B11/12,IF(C11="Weekly",B11*52/12,B11)))</f>
        <v/>
      </c>
      <c r="F11" s="7" t="inlineStr">
        <is>
          <t>Yes</t>
        </is>
      </c>
      <c r="G11" s="17">
        <f>IF(D11="","",D11-TODAY())</f>
        <v/>
      </c>
    </row>
    <row r="12">
      <c r="A12" s="7" t="inlineStr">
        <is>
          <t>Domain renewal</t>
        </is>
      </c>
      <c r="B12" s="5" t="n">
        <v>14</v>
      </c>
      <c r="C12" s="7" t="inlineStr">
        <is>
          <t>Yearly</t>
        </is>
      </c>
      <c r="D12" s="18" t="n"/>
      <c r="E12" s="16">
        <f>IF(B12="","",IF(C12="Yearly",B12/12,IF(C12="Weekly",B12*52/12,B12)))</f>
        <v/>
      </c>
      <c r="F12" s="7" t="inlineStr">
        <is>
          <t>Yes</t>
        </is>
      </c>
      <c r="G12" s="17">
        <f>IF(D12="","",D12-TODAY())</f>
        <v/>
      </c>
    </row>
    <row r="13">
      <c r="A13" s="7" t="n"/>
      <c r="B13" s="5" t="n"/>
      <c r="C13" s="7" t="n"/>
      <c r="D13" s="18" t="n"/>
      <c r="E13" s="16">
        <f>IF(B13="","",IF(C13="Yearly",B13/12,IF(C13="Weekly",B13*52/12,B13)))</f>
        <v/>
      </c>
      <c r="F13" s="7" t="n"/>
      <c r="G13" s="17">
        <f>IF(D13="","",D13-TODAY())</f>
        <v/>
      </c>
    </row>
    <row r="14">
      <c r="A14" s="7" t="n"/>
      <c r="B14" s="5" t="n"/>
      <c r="C14" s="7" t="n"/>
      <c r="D14" s="18" t="n"/>
      <c r="E14" s="16">
        <f>IF(B14="","",IF(C14="Yearly",B14/12,IF(C14="Weekly",B14*52/12,B14)))</f>
        <v/>
      </c>
      <c r="F14" s="7" t="n"/>
      <c r="G14" s="17">
        <f>IF(D14="","",D14-TODAY())</f>
        <v/>
      </c>
    </row>
    <row r="15">
      <c r="A15" s="7" t="n"/>
      <c r="B15" s="5" t="n"/>
      <c r="C15" s="7" t="n"/>
      <c r="D15" s="18" t="n"/>
      <c r="E15" s="16">
        <f>IF(B15="","",IF(C15="Yearly",B15/12,IF(C15="Weekly",B15*52/12,B15)))</f>
        <v/>
      </c>
      <c r="F15" s="7" t="n"/>
      <c r="G15" s="17">
        <f>IF(D15="","",D15-TODAY())</f>
        <v/>
      </c>
    </row>
    <row r="16">
      <c r="A16" s="7" t="n"/>
      <c r="B16" s="5" t="n"/>
      <c r="C16" s="7" t="n"/>
      <c r="D16" s="18" t="n"/>
      <c r="E16" s="16">
        <f>IF(B16="","",IF(C16="Yearly",B16/12,IF(C16="Weekly",B16*52/12,B16)))</f>
        <v/>
      </c>
      <c r="F16" s="7" t="n"/>
      <c r="G16" s="17">
        <f>IF(D16="","",D16-TODAY())</f>
        <v/>
      </c>
    </row>
    <row r="17">
      <c r="A17" s="7" t="n"/>
      <c r="B17" s="5" t="n"/>
      <c r="C17" s="7" t="n"/>
      <c r="D17" s="18" t="n"/>
      <c r="E17" s="16">
        <f>IF(B17="","",IF(C17="Yearly",B17/12,IF(C17="Weekly",B17*52/12,B17)))</f>
        <v/>
      </c>
      <c r="F17" s="7" t="n"/>
      <c r="G17" s="17">
        <f>IF(D17="","",D17-TODAY())</f>
        <v/>
      </c>
    </row>
    <row r="18">
      <c r="A18" s="7" t="n"/>
      <c r="B18" s="5" t="n"/>
      <c r="C18" s="7" t="n"/>
      <c r="D18" s="18" t="n"/>
      <c r="E18" s="16">
        <f>IF(B18="","",IF(C18="Yearly",B18/12,IF(C18="Weekly",B18*52/12,B18)))</f>
        <v/>
      </c>
      <c r="F18" s="7" t="n"/>
      <c r="G18" s="17">
        <f>IF(D18="","",D18-TODAY())</f>
        <v/>
      </c>
    </row>
    <row r="19">
      <c r="A19" s="7" t="n"/>
      <c r="B19" s="5" t="n"/>
      <c r="C19" s="7" t="n"/>
      <c r="D19" s="18" t="n"/>
      <c r="E19" s="16">
        <f>IF(B19="","",IF(C19="Yearly",B19/12,IF(C19="Weekly",B19*52/12,B19)))</f>
        <v/>
      </c>
      <c r="F19" s="7" t="n"/>
      <c r="G19" s="17">
        <f>IF(D19="","",D19-TODAY())</f>
        <v/>
      </c>
    </row>
    <row r="20">
      <c r="A20" s="7" t="n"/>
      <c r="B20" s="5" t="n"/>
      <c r="C20" s="7" t="n"/>
      <c r="D20" s="18" t="n"/>
      <c r="E20" s="16">
        <f>IF(B20="","",IF(C20="Yearly",B20/12,IF(C20="Weekly",B20*52/12,B20)))</f>
        <v/>
      </c>
      <c r="F20" s="7" t="n"/>
      <c r="G20" s="17">
        <f>IF(D20="","",D20-TODAY())</f>
        <v/>
      </c>
    </row>
    <row r="21">
      <c r="A21" s="7" t="n"/>
      <c r="B21" s="5" t="n"/>
      <c r="C21" s="7" t="n"/>
      <c r="D21" s="18" t="n"/>
      <c r="E21" s="16">
        <f>IF(B21="","",IF(C21="Yearly",B21/12,IF(C21="Weekly",B21*52/12,B21)))</f>
        <v/>
      </c>
      <c r="F21" s="7" t="n"/>
      <c r="G21" s="17">
        <f>IF(D21="","",D21-TODAY())</f>
        <v/>
      </c>
    </row>
    <row r="22">
      <c r="A22" s="7" t="n"/>
      <c r="B22" s="5" t="n"/>
      <c r="C22" s="7" t="n"/>
      <c r="D22" s="18" t="n"/>
      <c r="E22" s="16">
        <f>IF(B22="","",IF(C22="Yearly",B22/12,IF(C22="Weekly",B22*52/12,B22)))</f>
        <v/>
      </c>
      <c r="F22" s="7" t="n"/>
      <c r="G22" s="17">
        <f>IF(D22="","",D22-TODAY())</f>
        <v/>
      </c>
    </row>
    <row r="23">
      <c r="A23" s="7" t="n"/>
      <c r="B23" s="5" t="n"/>
      <c r="C23" s="7" t="n"/>
      <c r="D23" s="18" t="n"/>
      <c r="E23" s="16">
        <f>IF(B23="","",IF(C23="Yearly",B23/12,IF(C23="Weekly",B23*52/12,B23)))</f>
        <v/>
      </c>
      <c r="F23" s="7" t="n"/>
      <c r="G23" s="17">
        <f>IF(D23="","",D23-TODAY())</f>
        <v/>
      </c>
    </row>
    <row r="24">
      <c r="A24" s="7" t="n"/>
      <c r="B24" s="5" t="n"/>
      <c r="C24" s="7" t="n"/>
      <c r="D24" s="18" t="n"/>
      <c r="E24" s="16">
        <f>IF(B24="","",IF(C24="Yearly",B24/12,IF(C24="Weekly",B24*52/12,B24)))</f>
        <v/>
      </c>
      <c r="F24" s="7" t="n"/>
      <c r="G24" s="17">
        <f>IF(D24="","",D24-TODAY())</f>
        <v/>
      </c>
    </row>
    <row r="25">
      <c r="A25" s="7" t="n"/>
      <c r="B25" s="5" t="n"/>
      <c r="C25" s="7" t="n"/>
      <c r="D25" s="18" t="n"/>
      <c r="E25" s="16">
        <f>IF(B25="","",IF(C25="Yearly",B25/12,IF(C25="Weekly",B25*52/12,B25)))</f>
        <v/>
      </c>
      <c r="F25" s="7" t="n"/>
      <c r="G25" s="17">
        <f>IF(D25="","",D25-TODAY())</f>
        <v/>
      </c>
    </row>
    <row r="26">
      <c r="A26" s="7" t="n"/>
      <c r="B26" s="5" t="n"/>
      <c r="C26" s="7" t="n"/>
      <c r="D26" s="18" t="n"/>
      <c r="E26" s="16">
        <f>IF(B26="","",IF(C26="Yearly",B26/12,IF(C26="Weekly",B26*52/12,B26)))</f>
        <v/>
      </c>
      <c r="F26" s="7" t="n"/>
      <c r="G26" s="17">
        <f>IF(D26="","",D26-TODAY())</f>
        <v/>
      </c>
    </row>
    <row r="27">
      <c r="A27" s="7" t="n"/>
      <c r="B27" s="5" t="n"/>
      <c r="C27" s="7" t="n"/>
      <c r="D27" s="18" t="n"/>
      <c r="E27" s="16">
        <f>IF(B27="","",IF(C27="Yearly",B27/12,IF(C27="Weekly",B27*52/12,B27)))</f>
        <v/>
      </c>
      <c r="F27" s="7" t="n"/>
      <c r="G27" s="17">
        <f>IF(D27="","",D27-TODAY())</f>
        <v/>
      </c>
    </row>
    <row r="28">
      <c r="A28" s="7" t="n"/>
      <c r="B28" s="5" t="n"/>
      <c r="C28" s="7" t="n"/>
      <c r="D28" s="18" t="n"/>
      <c r="E28" s="16">
        <f>IF(B28="","",IF(C28="Yearly",B28/12,IF(C28="Weekly",B28*52/12,B28)))</f>
        <v/>
      </c>
      <c r="F28" s="7" t="n"/>
      <c r="G28" s="17">
        <f>IF(D28="","",D28-TODAY())</f>
        <v/>
      </c>
    </row>
    <row r="29">
      <c r="A29" s="7" t="n"/>
      <c r="B29" s="5" t="n"/>
      <c r="C29" s="7" t="n"/>
      <c r="D29" s="18" t="n"/>
      <c r="E29" s="16">
        <f>IF(B29="","",IF(C29="Yearly",B29/12,IF(C29="Weekly",B29*52/12,B29)))</f>
        <v/>
      </c>
      <c r="F29" s="7" t="n"/>
      <c r="G29" s="17">
        <f>IF(D29="","",D29-TODAY())</f>
        <v/>
      </c>
    </row>
    <row r="30">
      <c r="A30" s="7" t="n"/>
      <c r="B30" s="5" t="n"/>
      <c r="C30" s="7" t="n"/>
      <c r="D30" s="18" t="n"/>
      <c r="E30" s="16">
        <f>IF(B30="","",IF(C30="Yearly",B30/12,IF(C30="Weekly",B30*52/12,B30)))</f>
        <v/>
      </c>
      <c r="F30" s="7" t="n"/>
      <c r="G30" s="17">
        <f>IF(D30="","",D30-TODAY())</f>
        <v/>
      </c>
    </row>
    <row r="31">
      <c r="A31" s="7" t="n"/>
      <c r="B31" s="5" t="n"/>
      <c r="C31" s="7" t="n"/>
      <c r="D31" s="18" t="n"/>
      <c r="E31" s="16">
        <f>IF(B31="","",IF(C31="Yearly",B31/12,IF(C31="Weekly",B31*52/12,B31)))</f>
        <v/>
      </c>
      <c r="F31" s="7" t="n"/>
      <c r="G31" s="17">
        <f>IF(D31="","",D31-TODAY())</f>
        <v/>
      </c>
    </row>
    <row r="32">
      <c r="A32" s="7" t="n"/>
      <c r="B32" s="5" t="n"/>
      <c r="C32" s="7" t="n"/>
      <c r="D32" s="18" t="n"/>
      <c r="E32" s="16">
        <f>IF(B32="","",IF(C32="Yearly",B32/12,IF(C32="Weekly",B32*52/12,B32)))</f>
        <v/>
      </c>
      <c r="F32" s="7" t="n"/>
      <c r="G32" s="17">
        <f>IF(D32="","",D32-TODAY())</f>
        <v/>
      </c>
    </row>
    <row r="33">
      <c r="A33" s="7" t="n"/>
      <c r="B33" s="5" t="n"/>
      <c r="C33" s="7" t="n"/>
      <c r="D33" s="18" t="n"/>
      <c r="E33" s="16">
        <f>IF(B33="","",IF(C33="Yearly",B33/12,IF(C33="Weekly",B33*52/12,B33)))</f>
        <v/>
      </c>
      <c r="F33" s="7" t="n"/>
      <c r="G33" s="17">
        <f>IF(D33="","",D33-TODAY())</f>
        <v/>
      </c>
    </row>
    <row r="34">
      <c r="A34" s="7" t="n"/>
      <c r="B34" s="5" t="n"/>
      <c r="C34" s="7" t="n"/>
      <c r="D34" s="18" t="n"/>
      <c r="E34" s="16">
        <f>IF(B34="","",IF(C34="Yearly",B34/12,IF(C34="Weekly",B34*52/12,B34)))</f>
        <v/>
      </c>
      <c r="F34" s="7" t="n"/>
      <c r="G34" s="17">
        <f>IF(D34="","",D34-TODAY())</f>
        <v/>
      </c>
    </row>
    <row r="35">
      <c r="A35" s="7" t="n"/>
      <c r="B35" s="5" t="n"/>
      <c r="C35" s="7" t="n"/>
      <c r="D35" s="18" t="n"/>
      <c r="E35" s="16">
        <f>IF(B35="","",IF(C35="Yearly",B35/12,IF(C35="Weekly",B35*52/12,B35)))</f>
        <v/>
      </c>
      <c r="F35" s="7" t="n"/>
      <c r="G35" s="17">
        <f>IF(D35="","",D35-TODAY())</f>
        <v/>
      </c>
    </row>
    <row r="36">
      <c r="A36" s="7" t="n"/>
      <c r="B36" s="5" t="n"/>
      <c r="C36" s="7" t="n"/>
      <c r="D36" s="18" t="n"/>
      <c r="E36" s="16">
        <f>IF(B36="","",IF(C36="Yearly",B36/12,IF(C36="Weekly",B36*52/12,B36)))</f>
        <v/>
      </c>
      <c r="F36" s="7" t="n"/>
      <c r="G36" s="17">
        <f>IF(D36="","",D36-TODAY())</f>
        <v/>
      </c>
    </row>
    <row r="37">
      <c r="A37" s="7" t="n"/>
      <c r="B37" s="5" t="n"/>
      <c r="C37" s="7" t="n"/>
      <c r="D37" s="18" t="n"/>
      <c r="E37" s="16">
        <f>IF(B37="","",IF(C37="Yearly",B37/12,IF(C37="Weekly",B37*52/12,B37)))</f>
        <v/>
      </c>
      <c r="F37" s="7" t="n"/>
      <c r="G37" s="17">
        <f>IF(D37="","",D37-TODAY())</f>
        <v/>
      </c>
    </row>
    <row r="38">
      <c r="A38" s="7" t="n"/>
      <c r="B38" s="5" t="n"/>
      <c r="C38" s="7" t="n"/>
      <c r="D38" s="18" t="n"/>
      <c r="E38" s="16">
        <f>IF(B38="","",IF(C38="Yearly",B38/12,IF(C38="Weekly",B38*52/12,B38)))</f>
        <v/>
      </c>
      <c r="F38" s="7" t="n"/>
      <c r="G38" s="17">
        <f>IF(D38="","",D38-TODAY())</f>
        <v/>
      </c>
    </row>
    <row r="39">
      <c r="A39" s="7" t="n"/>
      <c r="B39" s="5" t="n"/>
      <c r="C39" s="7" t="n"/>
      <c r="D39" s="18" t="n"/>
      <c r="E39" s="16">
        <f>IF(B39="","",IF(C39="Yearly",B39/12,IF(C39="Weekly",B39*52/12,B39)))</f>
        <v/>
      </c>
      <c r="F39" s="7" t="n"/>
      <c r="G39" s="17">
        <f>IF(D39="","",D39-TODAY())</f>
        <v/>
      </c>
    </row>
    <row r="40">
      <c r="A40" s="7" t="n"/>
      <c r="B40" s="5" t="n"/>
      <c r="C40" s="7" t="n"/>
      <c r="D40" s="18" t="n"/>
      <c r="E40" s="16">
        <f>IF(B40="","",IF(C40="Yearly",B40/12,IF(C40="Weekly",B40*52/12,B40)))</f>
        <v/>
      </c>
      <c r="F40" s="7" t="n"/>
      <c r="G40" s="17">
        <f>IF(D40="","",D40-TODAY())</f>
        <v/>
      </c>
    </row>
    <row r="41">
      <c r="A41" s="7" t="n"/>
      <c r="B41" s="5" t="n"/>
      <c r="C41" s="7" t="n"/>
      <c r="D41" s="18" t="n"/>
      <c r="E41" s="16">
        <f>IF(B41="","",IF(C41="Yearly",B41/12,IF(C41="Weekly",B41*52/12,B41)))</f>
        <v/>
      </c>
      <c r="F41" s="7" t="n"/>
      <c r="G41" s="17">
        <f>IF(D41="","",D41-TODAY())</f>
        <v/>
      </c>
    </row>
    <row r="42">
      <c r="A42" s="7" t="n"/>
      <c r="B42" s="5" t="n"/>
      <c r="C42" s="7" t="n"/>
      <c r="D42" s="18" t="n"/>
      <c r="E42" s="16">
        <f>IF(B42="","",IF(C42="Yearly",B42/12,IF(C42="Weekly",B42*52/12,B42)))</f>
        <v/>
      </c>
      <c r="F42" s="7" t="n"/>
      <c r="G42" s="17">
        <f>IF(D42="","",D42-TODAY())</f>
        <v/>
      </c>
    </row>
    <row r="43">
      <c r="A43" s="7" t="n"/>
      <c r="B43" s="5" t="n"/>
      <c r="C43" s="7" t="n"/>
      <c r="D43" s="18" t="n"/>
      <c r="E43" s="16">
        <f>IF(B43="","",IF(C43="Yearly",B43/12,IF(C43="Weekly",B43*52/12,B43)))</f>
        <v/>
      </c>
      <c r="F43" s="7" t="n"/>
      <c r="G43" s="17">
        <f>IF(D43="","",D43-TODAY())</f>
        <v/>
      </c>
    </row>
    <row r="44">
      <c r="A44" s="7" t="n"/>
      <c r="B44" s="5" t="n"/>
      <c r="C44" s="7" t="n"/>
      <c r="D44" s="18" t="n"/>
      <c r="E44" s="16">
        <f>IF(B44="","",IF(C44="Yearly",B44/12,IF(C44="Weekly",B44*52/12,B44)))</f>
        <v/>
      </c>
      <c r="F44" s="7" t="n"/>
      <c r="G44" s="17">
        <f>IF(D44="","",D44-TODAY())</f>
        <v/>
      </c>
    </row>
    <row r="45">
      <c r="A45" s="7" t="n"/>
      <c r="B45" s="5" t="n"/>
      <c r="C45" s="7" t="n"/>
      <c r="D45" s="18" t="n"/>
      <c r="E45" s="16">
        <f>IF(B45="","",IF(C45="Yearly",B45/12,IF(C45="Weekly",B45*52/12,B45)))</f>
        <v/>
      </c>
      <c r="F45" s="7" t="n"/>
      <c r="G45" s="17">
        <f>IF(D45="","",D45-TODAY())</f>
        <v/>
      </c>
    </row>
    <row r="46">
      <c r="A46" s="7" t="n"/>
      <c r="B46" s="5" t="n"/>
      <c r="C46" s="7" t="n"/>
      <c r="D46" s="18" t="n"/>
      <c r="E46" s="16">
        <f>IF(B46="","",IF(C46="Yearly",B46/12,IF(C46="Weekly",B46*52/12,B46)))</f>
        <v/>
      </c>
      <c r="F46" s="7" t="n"/>
      <c r="G46" s="17">
        <f>IF(D46="","",D46-TODAY())</f>
        <v/>
      </c>
    </row>
    <row r="47">
      <c r="A47" s="7" t="n"/>
      <c r="B47" s="5" t="n"/>
      <c r="C47" s="7" t="n"/>
      <c r="D47" s="18" t="n"/>
      <c r="E47" s="16">
        <f>IF(B47="","",IF(C47="Yearly",B47/12,IF(C47="Weekly",B47*52/12,B47)))</f>
        <v/>
      </c>
      <c r="F47" s="7" t="n"/>
      <c r="G47" s="17">
        <f>IF(D47="","",D47-TODAY())</f>
        <v/>
      </c>
    </row>
    <row r="48">
      <c r="A48" s="7" t="n"/>
      <c r="B48" s="5" t="n"/>
      <c r="C48" s="7" t="n"/>
      <c r="D48" s="18" t="n"/>
      <c r="E48" s="16">
        <f>IF(B48="","",IF(C48="Yearly",B48/12,IF(C48="Weekly",B48*52/12,B48)))</f>
        <v/>
      </c>
      <c r="F48" s="7" t="n"/>
      <c r="G48" s="17">
        <f>IF(D48="","",D48-TODAY())</f>
        <v/>
      </c>
    </row>
    <row r="49">
      <c r="A49" s="7" t="n"/>
      <c r="B49" s="5" t="n"/>
      <c r="C49" s="7" t="n"/>
      <c r="D49" s="18" t="n"/>
      <c r="E49" s="16">
        <f>IF(B49="","",IF(C49="Yearly",B49/12,IF(C49="Weekly",B49*52/12,B49)))</f>
        <v/>
      </c>
      <c r="F49" s="7" t="n"/>
      <c r="G49" s="17">
        <f>IF(D49="","",D49-TODAY())</f>
        <v/>
      </c>
    </row>
    <row r="50">
      <c r="A50" s="7" t="n"/>
      <c r="B50" s="5" t="n"/>
      <c r="C50" s="7" t="n"/>
      <c r="D50" s="18" t="n"/>
      <c r="E50" s="16">
        <f>IF(B50="","",IF(C50="Yearly",B50/12,IF(C50="Weekly",B50*52/12,B50)))</f>
        <v/>
      </c>
      <c r="F50" s="7" t="n"/>
      <c r="G50" s="17">
        <f>IF(D50="","",D50-TODAY())</f>
        <v/>
      </c>
    </row>
    <row r="51">
      <c r="A51" s="7" t="n"/>
      <c r="B51" s="5" t="n"/>
      <c r="C51" s="7" t="n"/>
      <c r="D51" s="18" t="n"/>
      <c r="E51" s="16">
        <f>IF(B51="","",IF(C51="Yearly",B51/12,IF(C51="Weekly",B51*52/12,B51)))</f>
        <v/>
      </c>
      <c r="F51" s="7" t="n"/>
      <c r="G51" s="17">
        <f>IF(D51="","",D51-TODAY())</f>
        <v/>
      </c>
    </row>
    <row r="52">
      <c r="A52" s="7" t="n"/>
      <c r="B52" s="5" t="n"/>
      <c r="C52" s="7" t="n"/>
      <c r="D52" s="18" t="n"/>
      <c r="E52" s="16">
        <f>IF(B52="","",IF(C52="Yearly",B52/12,IF(C52="Weekly",B52*52/12,B52)))</f>
        <v/>
      </c>
      <c r="F52" s="7" t="n"/>
      <c r="G52" s="17">
        <f>IF(D52="","",D52-TODAY())</f>
        <v/>
      </c>
    </row>
    <row r="53">
      <c r="A53" s="7" t="n"/>
      <c r="B53" s="5" t="n"/>
      <c r="C53" s="7" t="n"/>
      <c r="D53" s="18" t="n"/>
      <c r="E53" s="16">
        <f>IF(B53="","",IF(C53="Yearly",B53/12,IF(C53="Weekly",B53*52/12,B53)))</f>
        <v/>
      </c>
      <c r="F53" s="7" t="n"/>
      <c r="G53" s="17">
        <f>IF(D53="","",D53-TODAY())</f>
        <v/>
      </c>
    </row>
    <row r="54">
      <c r="A54" s="7" t="n"/>
      <c r="B54" s="5" t="n"/>
      <c r="C54" s="7" t="n"/>
      <c r="D54" s="18" t="n"/>
      <c r="E54" s="16">
        <f>IF(B54="","",IF(C54="Yearly",B54/12,IF(C54="Weekly",B54*52/12,B54)))</f>
        <v/>
      </c>
      <c r="F54" s="7" t="n"/>
      <c r="G54" s="17">
        <f>IF(D54="","",D54-TODAY())</f>
        <v/>
      </c>
    </row>
    <row r="55">
      <c r="A55" s="7" t="n"/>
      <c r="B55" s="5" t="n"/>
      <c r="C55" s="7" t="n"/>
      <c r="D55" s="18" t="n"/>
      <c r="E55" s="16">
        <f>IF(B55="","",IF(C55="Yearly",B55/12,IF(C55="Weekly",B55*52/12,B55)))</f>
        <v/>
      </c>
      <c r="F55" s="7" t="n"/>
      <c r="G55" s="17">
        <f>IF(D55="","",D55-TODAY())</f>
        <v/>
      </c>
    </row>
    <row r="56">
      <c r="A56" s="7" t="n"/>
      <c r="B56" s="5" t="n"/>
      <c r="C56" s="7" t="n"/>
      <c r="D56" s="18" t="n"/>
      <c r="E56" s="16">
        <f>IF(B56="","",IF(C56="Yearly",B56/12,IF(C56="Weekly",B56*52/12,B56)))</f>
        <v/>
      </c>
      <c r="F56" s="7" t="n"/>
      <c r="G56" s="17">
        <f>IF(D56="","",D56-TODAY())</f>
        <v/>
      </c>
    </row>
    <row r="57">
      <c r="A57" s="7" t="n"/>
      <c r="B57" s="5" t="n"/>
      <c r="C57" s="7" t="n"/>
      <c r="D57" s="18" t="n"/>
      <c r="E57" s="16">
        <f>IF(B57="","",IF(C57="Yearly",B57/12,IF(C57="Weekly",B57*52/12,B57)))</f>
        <v/>
      </c>
      <c r="F57" s="7" t="n"/>
      <c r="G57" s="17">
        <f>IF(D57="","",D57-TODAY())</f>
        <v/>
      </c>
    </row>
    <row r="58">
      <c r="A58" s="7" t="n"/>
      <c r="B58" s="5" t="n"/>
      <c r="C58" s="7" t="n"/>
      <c r="D58" s="18" t="n"/>
      <c r="E58" s="16">
        <f>IF(B58="","",IF(C58="Yearly",B58/12,IF(C58="Weekly",B58*52/12,B58)))</f>
        <v/>
      </c>
      <c r="F58" s="7" t="n"/>
      <c r="G58" s="17">
        <f>IF(D58="","",D58-TODAY())</f>
        <v/>
      </c>
    </row>
    <row r="59">
      <c r="A59" s="7" t="n"/>
      <c r="B59" s="5" t="n"/>
      <c r="C59" s="7" t="n"/>
      <c r="D59" s="18" t="n"/>
      <c r="E59" s="16">
        <f>IF(B59="","",IF(C59="Yearly",B59/12,IF(C59="Weekly",B59*52/12,B59)))</f>
        <v/>
      </c>
      <c r="F59" s="7" t="n"/>
      <c r="G59" s="17">
        <f>IF(D59="","",D59-TODAY())</f>
        <v/>
      </c>
    </row>
    <row r="60">
      <c r="A60" s="7" t="n"/>
      <c r="B60" s="5" t="n"/>
      <c r="C60" s="7" t="n"/>
      <c r="D60" s="18" t="n"/>
      <c r="E60" s="16">
        <f>IF(B60="","",IF(C60="Yearly",B60/12,IF(C60="Weekly",B60*52/12,B60)))</f>
        <v/>
      </c>
      <c r="F60" s="7" t="n"/>
      <c r="G60" s="17">
        <f>IF(D60="","",D60-TODAY())</f>
        <v/>
      </c>
    </row>
  </sheetData>
  <conditionalFormatting sqref="G6:G60">
    <cfRule type="cellIs" priority="1" operator="between" dxfId="2">
      <formula>0</formula>
      <formula>7</formula>
    </cfRule>
  </conditionalFormatting>
  <conditionalFormatting sqref="F6:F60">
    <cfRule type="expression" priority="2" dxfId="1">
      <formula>F6="No"</formula>
    </cfRule>
  </conditionalFormatting>
  <dataValidations count="2">
    <dataValidation sqref="C6:C60" showDropDown="0" showInputMessage="0" showErrorMessage="0" allowBlank="1" type="list">
      <formula1>"Monthly,Yearly,Weekly"</formula1>
    </dataValidation>
    <dataValidation sqref="F6:F6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6" customWidth="1" min="4" max="4"/>
    <col width="12" customWidth="1" min="5" max="5"/>
    <col width="26" customWidth="1" min="6" max="6"/>
    <col width="18" customWidth="1" min="7" max="7"/>
    <col width="14" customWidth="1" min="8" max="8"/>
  </cols>
  <sheetData>
    <row r="1">
      <c r="A1" s="1" t="inlineStr">
        <is>
          <t>Debt payoff (avalanche)</t>
        </is>
      </c>
    </row>
    <row r="2">
      <c r="A2" s="2" t="inlineStr">
        <is>
          <t>List each debt. The sheet orders them by interest rate and estimates your debt-free month from total payments.</t>
        </is>
      </c>
    </row>
    <row r="3">
      <c r="F3" s="14" t="inlineStr">
        <is>
          <t>Total debt</t>
        </is>
      </c>
      <c r="G3" s="12">
        <f>SUM(B6:B25)</f>
        <v/>
      </c>
    </row>
    <row r="4">
      <c r="F4" s="14" t="inlineStr">
        <is>
          <t>Total monthly payments</t>
        </is>
      </c>
      <c r="G4" s="12">
        <f>SUM(D6:D25)</f>
        <v/>
      </c>
    </row>
    <row r="5" ht="20" customHeight="1">
      <c r="A5" s="9" t="inlineStr">
        <is>
          <t>Debt</t>
        </is>
      </c>
      <c r="B5" s="9" t="inlineStr">
        <is>
          <t>Balance</t>
        </is>
      </c>
      <c r="C5" s="9" t="inlineStr">
        <is>
          <t>APR</t>
        </is>
      </c>
      <c r="D5" s="9" t="inlineStr">
        <is>
          <t>Monthly payment</t>
        </is>
      </c>
      <c r="E5" s="9" t="inlineStr">
        <is>
          <t>Payoff order</t>
        </is>
      </c>
      <c r="F5" s="9" t="inlineStr">
        <is>
          <t>Months left (this debt alone)</t>
        </is>
      </c>
      <c r="G5" s="19">
        <f>IF(G3=0,0,SUMPRODUCT(B6:B25,C6:C25)/G3)</f>
        <v/>
      </c>
    </row>
    <row r="6">
      <c r="A6" s="7" t="inlineStr">
        <is>
          <t>Credit card</t>
        </is>
      </c>
      <c r="B6" s="5" t="n">
        <v>4200</v>
      </c>
      <c r="C6" s="6" t="n">
        <v>0.2499</v>
      </c>
      <c r="D6" s="5" t="n">
        <v>250</v>
      </c>
      <c r="E6" s="17">
        <f>IF(B6="","",RANK(C6,$C$6:$C$25,0))</f>
        <v/>
      </c>
      <c r="F6" s="20">
        <f>IF(OR(B6="",D6=0),"",IF(D6&lt;=B6*C6/12,"Payment too small",ROUNDUP(NPER(C6/12,-D6,B6),0)))</f>
        <v/>
      </c>
      <c r="G6" s="21">
        <f>IF(OR(G3=0,G4=0),"",EDATE(TODAY(),MAX(1,ROUNDUP(NPER(G5/12,-G4,G3),0))))</f>
        <v/>
      </c>
    </row>
    <row r="7">
      <c r="A7" s="7" t="inlineStr">
        <is>
          <t>Car loan</t>
        </is>
      </c>
      <c r="B7" s="5" t="n">
        <v>9800</v>
      </c>
      <c r="C7" s="6" t="n">
        <v>0.06900000000000001</v>
      </c>
      <c r="D7" s="5" t="n">
        <v>310</v>
      </c>
      <c r="E7" s="17">
        <f>IF(B7="","",RANK(C7,$C$6:$C$25,0))</f>
        <v/>
      </c>
      <c r="F7" s="17">
        <f>IF(OR(B7="",D7=0),"",IF(D7&lt;=B7*C7/12,"Payment too small",ROUNDUP(NPER(C7/12,-D7,B7),0)))</f>
        <v/>
      </c>
    </row>
    <row r="8">
      <c r="A8" s="7" t="inlineStr">
        <is>
          <t>Student loan</t>
        </is>
      </c>
      <c r="B8" s="5" t="n">
        <v>15500</v>
      </c>
      <c r="C8" s="6" t="n">
        <v>0.055</v>
      </c>
      <c r="D8" s="5" t="n">
        <v>220</v>
      </c>
      <c r="E8" s="17">
        <f>IF(B8="","",RANK(C8,$C$6:$C$25,0))</f>
        <v/>
      </c>
      <c r="F8" s="17">
        <f>IF(OR(B8="",D8=0),"",IF(D8&lt;=B8*C8/12,"Payment too small",ROUNDUP(NPER(C8/12,-D8,B8),0)))</f>
        <v/>
      </c>
    </row>
    <row r="9">
      <c r="A9" s="7" t="n"/>
      <c r="B9" s="5" t="n"/>
      <c r="C9" s="6" t="n"/>
      <c r="D9" s="5" t="n"/>
      <c r="E9" s="17">
        <f>IF(B9="","",RANK(C9,$C$6:$C$25,0))</f>
        <v/>
      </c>
      <c r="F9" s="17">
        <f>IF(OR(B9="",D9=0),"",IF(D9&lt;=B9*C9/12,"Payment too small",ROUNDUP(NPER(C9/12,-D9,B9),0)))</f>
        <v/>
      </c>
    </row>
    <row r="10">
      <c r="A10" s="7" t="n"/>
      <c r="B10" s="5" t="n"/>
      <c r="C10" s="6" t="n"/>
      <c r="D10" s="5" t="n"/>
      <c r="E10" s="17">
        <f>IF(B10="","",RANK(C10,$C$6:$C$25,0))</f>
        <v/>
      </c>
      <c r="F10" s="17">
        <f>IF(OR(B10="",D10=0),"",IF(D10&lt;=B10*C10/12,"Payment too small",ROUNDUP(NPER(C10/12,-D10,B10),0)))</f>
        <v/>
      </c>
    </row>
    <row r="11">
      <c r="A11" s="7" t="n"/>
      <c r="B11" s="5" t="n"/>
      <c r="C11" s="6" t="n"/>
      <c r="D11" s="5" t="n"/>
      <c r="E11" s="17">
        <f>IF(B11="","",RANK(C11,$C$6:$C$25,0))</f>
        <v/>
      </c>
      <c r="F11" s="17">
        <f>IF(OR(B11="",D11=0),"",IF(D11&lt;=B11*C11/12,"Payment too small",ROUNDUP(NPER(C11/12,-D11,B11),0)))</f>
        <v/>
      </c>
    </row>
    <row r="12">
      <c r="A12" s="7" t="n"/>
      <c r="B12" s="5" t="n"/>
      <c r="C12" s="6" t="n"/>
      <c r="D12" s="5" t="n"/>
      <c r="E12" s="17">
        <f>IF(B12="","",RANK(C12,$C$6:$C$25,0))</f>
        <v/>
      </c>
      <c r="F12" s="17">
        <f>IF(OR(B12="",D12=0),"",IF(D12&lt;=B12*C12/12,"Payment too small",ROUNDUP(NPER(C12/12,-D12,B12),0)))</f>
        <v/>
      </c>
    </row>
    <row r="13">
      <c r="A13" s="7" t="n"/>
      <c r="B13" s="5" t="n"/>
      <c r="C13" s="6" t="n"/>
      <c r="D13" s="5" t="n"/>
      <c r="E13" s="17">
        <f>IF(B13="","",RANK(C13,$C$6:$C$25,0))</f>
        <v/>
      </c>
      <c r="F13" s="17">
        <f>IF(OR(B13="",D13=0),"",IF(D13&lt;=B13*C13/12,"Payment too small",ROUNDUP(NPER(C13/12,-D13,B13),0)))</f>
        <v/>
      </c>
    </row>
    <row r="14">
      <c r="A14" s="7" t="n"/>
      <c r="B14" s="5" t="n"/>
      <c r="C14" s="6" t="n"/>
      <c r="D14" s="5" t="n"/>
      <c r="E14" s="17">
        <f>IF(B14="","",RANK(C14,$C$6:$C$25,0))</f>
        <v/>
      </c>
      <c r="F14" s="17">
        <f>IF(OR(B14="",D14=0),"",IF(D14&lt;=B14*C14/12,"Payment too small",ROUNDUP(NPER(C14/12,-D14,B14),0)))</f>
        <v/>
      </c>
    </row>
    <row r="15">
      <c r="A15" s="7" t="n"/>
      <c r="B15" s="5" t="n"/>
      <c r="C15" s="6" t="n"/>
      <c r="D15" s="5" t="n"/>
      <c r="E15" s="17">
        <f>IF(B15="","",RANK(C15,$C$6:$C$25,0))</f>
        <v/>
      </c>
      <c r="F15" s="17">
        <f>IF(OR(B15="",D15=0),"",IF(D15&lt;=B15*C15/12,"Payment too small",ROUNDUP(NPER(C15/12,-D15,B15),0)))</f>
        <v/>
      </c>
    </row>
    <row r="16">
      <c r="A16" s="7" t="n"/>
      <c r="B16" s="5" t="n"/>
      <c r="C16" s="6" t="n"/>
      <c r="D16" s="5" t="n"/>
      <c r="E16" s="17">
        <f>IF(B16="","",RANK(C16,$C$6:$C$25,0))</f>
        <v/>
      </c>
      <c r="F16" s="17">
        <f>IF(OR(B16="",D16=0),"",IF(D16&lt;=B16*C16/12,"Payment too small",ROUNDUP(NPER(C16/12,-D16,B16),0)))</f>
        <v/>
      </c>
    </row>
    <row r="17">
      <c r="A17" s="7" t="n"/>
      <c r="B17" s="5" t="n"/>
      <c r="C17" s="6" t="n"/>
      <c r="D17" s="5" t="n"/>
      <c r="E17" s="17">
        <f>IF(B17="","",RANK(C17,$C$6:$C$25,0))</f>
        <v/>
      </c>
      <c r="F17" s="17">
        <f>IF(OR(B17="",D17=0),"",IF(D17&lt;=B17*C17/12,"Payment too small",ROUNDUP(NPER(C17/12,-D17,B17),0)))</f>
        <v/>
      </c>
    </row>
    <row r="18">
      <c r="A18" s="7" t="n"/>
      <c r="B18" s="5" t="n"/>
      <c r="C18" s="6" t="n"/>
      <c r="D18" s="5" t="n"/>
      <c r="E18" s="17">
        <f>IF(B18="","",RANK(C18,$C$6:$C$25,0))</f>
        <v/>
      </c>
      <c r="F18" s="17">
        <f>IF(OR(B18="",D18=0),"",IF(D18&lt;=B18*C18/12,"Payment too small",ROUNDUP(NPER(C18/12,-D18,B18),0)))</f>
        <v/>
      </c>
    </row>
    <row r="19">
      <c r="A19" s="7" t="n"/>
      <c r="B19" s="5" t="n"/>
      <c r="C19" s="6" t="n"/>
      <c r="D19" s="5" t="n"/>
      <c r="E19" s="17">
        <f>IF(B19="","",RANK(C19,$C$6:$C$25,0))</f>
        <v/>
      </c>
      <c r="F19" s="17">
        <f>IF(OR(B19="",D19=0),"",IF(D19&lt;=B19*C19/12,"Payment too small",ROUNDUP(NPER(C19/12,-D19,B19),0)))</f>
        <v/>
      </c>
    </row>
    <row r="20">
      <c r="A20" s="7" t="n"/>
      <c r="B20" s="5" t="n"/>
      <c r="C20" s="6" t="n"/>
      <c r="D20" s="5" t="n"/>
      <c r="E20" s="17">
        <f>IF(B20="","",RANK(C20,$C$6:$C$25,0))</f>
        <v/>
      </c>
      <c r="F20" s="17">
        <f>IF(OR(B20="",D20=0),"",IF(D20&lt;=B20*C20/12,"Payment too small",ROUNDUP(NPER(C20/12,-D20,B20),0)))</f>
        <v/>
      </c>
    </row>
    <row r="21">
      <c r="A21" s="7" t="n"/>
      <c r="B21" s="5" t="n"/>
      <c r="C21" s="6" t="n"/>
      <c r="D21" s="5" t="n"/>
      <c r="E21" s="17">
        <f>IF(B21="","",RANK(C21,$C$6:$C$25,0))</f>
        <v/>
      </c>
      <c r="F21" s="17">
        <f>IF(OR(B21="",D21=0),"",IF(D21&lt;=B21*C21/12,"Payment too small",ROUNDUP(NPER(C21/12,-D21,B21),0)))</f>
        <v/>
      </c>
    </row>
    <row r="22">
      <c r="A22" s="7" t="n"/>
      <c r="B22" s="5" t="n"/>
      <c r="C22" s="6" t="n"/>
      <c r="D22" s="5" t="n"/>
      <c r="E22" s="17">
        <f>IF(B22="","",RANK(C22,$C$6:$C$25,0))</f>
        <v/>
      </c>
      <c r="F22" s="17">
        <f>IF(OR(B22="",D22=0),"",IF(D22&lt;=B22*C22/12,"Payment too small",ROUNDUP(NPER(C22/12,-D22,B22),0)))</f>
        <v/>
      </c>
    </row>
    <row r="23">
      <c r="A23" s="7" t="n"/>
      <c r="B23" s="5" t="n"/>
      <c r="C23" s="6" t="n"/>
      <c r="D23" s="5" t="n"/>
      <c r="E23" s="17">
        <f>IF(B23="","",RANK(C23,$C$6:$C$25,0))</f>
        <v/>
      </c>
      <c r="F23" s="17">
        <f>IF(OR(B23="",D23=0),"",IF(D23&lt;=B23*C23/12,"Payment too small",ROUNDUP(NPER(C23/12,-D23,B23),0)))</f>
        <v/>
      </c>
    </row>
    <row r="24">
      <c r="A24" s="7" t="n"/>
      <c r="B24" s="5" t="n"/>
      <c r="C24" s="6" t="n"/>
      <c r="D24" s="5" t="n"/>
      <c r="E24" s="17">
        <f>IF(B24="","",RANK(C24,$C$6:$C$25,0))</f>
        <v/>
      </c>
      <c r="F24" s="17">
        <f>IF(OR(B24="",D24=0),"",IF(D24&lt;=B24*C24/12,"Payment too small",ROUNDUP(NPER(C24/12,-D24,B24),0)))</f>
        <v/>
      </c>
    </row>
    <row r="25">
      <c r="A25" s="7" t="n"/>
      <c r="B25" s="5" t="n"/>
      <c r="C25" s="6" t="n"/>
      <c r="D25" s="5" t="n"/>
      <c r="E25" s="17">
        <f>IF(B25="","",RANK(C25,$C$6:$C$25,0))</f>
        <v/>
      </c>
      <c r="F25" s="17">
        <f>IF(OR(B25="",D25=0),"",IF(D25&lt;=B25*C25/12,"Payment too small",ROUNDUP(NPER(C25/12,-D25,B25),0)))</f>
        <v/>
      </c>
    </row>
  </sheetData>
  <conditionalFormatting sqref="E6:E25">
    <cfRule type="cellIs" priority="1" operator="equal" dxfId="2">
      <formula>1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1" t="inlineStr">
        <is>
          <t>Net worth</t>
        </is>
      </c>
    </row>
    <row r="2">
      <c r="A2" s="2" t="inlineStr">
        <is>
          <t>Assets minus debts. Add a row per account; update monthly on the Log tab to see the trend.</t>
        </is>
      </c>
    </row>
    <row r="3">
      <c r="C3" s="14" t="inlineStr">
        <is>
          <t>Net worth</t>
        </is>
      </c>
      <c r="D3" s="22">
        <f>SUM(B6:B25)-Debt!G3</f>
        <v/>
      </c>
    </row>
    <row r="5" ht="20" customHeight="1">
      <c r="A5" s="9" t="inlineStr">
        <is>
          <t>Asset</t>
        </is>
      </c>
      <c r="B5" s="9" t="inlineStr">
        <is>
          <t>Value</t>
        </is>
      </c>
      <c r="C5" s="9" t="inlineStr">
        <is>
          <t>Type</t>
        </is>
      </c>
    </row>
    <row r="6">
      <c r="A6" s="7" t="inlineStr">
        <is>
          <t>Checking</t>
        </is>
      </c>
      <c r="B6" s="5" t="n">
        <v>2400</v>
      </c>
      <c r="C6" s="7" t="inlineStr">
        <is>
          <t>Cash</t>
        </is>
      </c>
    </row>
    <row r="7">
      <c r="A7" s="7" t="inlineStr">
        <is>
          <t>Savings</t>
        </is>
      </c>
      <c r="B7" s="5" t="n">
        <v>6100</v>
      </c>
      <c r="C7" s="7" t="inlineStr">
        <is>
          <t>Cash</t>
        </is>
      </c>
    </row>
    <row r="8">
      <c r="A8" s="7" t="inlineStr">
        <is>
          <t>401(k)</t>
        </is>
      </c>
      <c r="B8" s="5" t="n">
        <v>18400</v>
      </c>
      <c r="C8" s="7" t="inlineStr">
        <is>
          <t>Retirement</t>
        </is>
      </c>
    </row>
    <row r="9">
      <c r="A9" s="7" t="inlineStr">
        <is>
          <t>Brokerage</t>
        </is>
      </c>
      <c r="B9" s="5" t="n">
        <v>3200</v>
      </c>
      <c r="C9" s="7" t="inlineStr">
        <is>
          <t>Investments</t>
        </is>
      </c>
    </row>
    <row r="10">
      <c r="A10" s="7" t="n"/>
      <c r="B10" s="5" t="n"/>
      <c r="C10" s="7" t="n"/>
    </row>
    <row r="11">
      <c r="A11" s="7" t="n"/>
      <c r="B11" s="5" t="n"/>
      <c r="C11" s="7" t="n"/>
    </row>
    <row r="12">
      <c r="A12" s="7" t="n"/>
      <c r="B12" s="5" t="n"/>
      <c r="C12" s="7" t="n"/>
    </row>
    <row r="13">
      <c r="A13" s="7" t="n"/>
      <c r="B13" s="5" t="n"/>
      <c r="C13" s="7" t="n"/>
    </row>
    <row r="14">
      <c r="A14" s="7" t="n"/>
      <c r="B14" s="5" t="n"/>
      <c r="C14" s="7" t="n"/>
    </row>
    <row r="15">
      <c r="A15" s="7" t="n"/>
      <c r="B15" s="5" t="n"/>
      <c r="C15" s="7" t="n"/>
    </row>
    <row r="16">
      <c r="A16" s="7" t="n"/>
      <c r="B16" s="5" t="n"/>
      <c r="C16" s="7" t="n"/>
    </row>
    <row r="17">
      <c r="A17" s="7" t="n"/>
      <c r="B17" s="5" t="n"/>
      <c r="C17" s="7" t="n"/>
    </row>
    <row r="18">
      <c r="A18" s="7" t="n"/>
      <c r="B18" s="5" t="n"/>
      <c r="C18" s="7" t="n"/>
    </row>
    <row r="19">
      <c r="A19" s="7" t="n"/>
      <c r="B19" s="5" t="n"/>
      <c r="C19" s="7" t="n"/>
    </row>
    <row r="20">
      <c r="A20" s="7" t="n"/>
      <c r="B20" s="5" t="n"/>
      <c r="C20" s="7" t="n"/>
    </row>
    <row r="21">
      <c r="A21" s="7" t="n"/>
      <c r="B21" s="5" t="n"/>
      <c r="C21" s="7" t="n"/>
    </row>
    <row r="22">
      <c r="A22" s="7" t="n"/>
      <c r="B22" s="5" t="n"/>
      <c r="C22" s="7" t="n"/>
    </row>
    <row r="23">
      <c r="A23" s="7" t="n"/>
      <c r="B23" s="5" t="n"/>
      <c r="C23" s="7" t="n"/>
    </row>
    <row r="24">
      <c r="A24" s="7" t="n"/>
      <c r="B24" s="5" t="n"/>
      <c r="C24" s="7" t="n"/>
    </row>
    <row r="25">
      <c r="A25" s="7" t="n"/>
      <c r="B25" s="5" t="n"/>
      <c r="C25" s="7" t="n"/>
    </row>
  </sheetData>
  <dataValidations count="1">
    <dataValidation sqref="C6:C25" showDropDown="0" showInputMessage="0" showErrorMessage="0" allowBlank="1" type="list">
      <formula1>"Cash,Retirement,Investments,Property,Vehicle,Other"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Monthly log</t>
        </is>
      </c>
    </row>
    <row r="2">
      <c r="A2" s="2" t="inlineStr">
        <is>
          <t>At the end of each month, copy the Dashboard numbers here. The chart shows your savings rate over time.</t>
        </is>
      </c>
    </row>
    <row r="4" ht="20" customHeight="1">
      <c r="A4" s="9" t="inlineStr">
        <is>
          <t>Month</t>
        </is>
      </c>
      <c r="B4" s="9" t="inlineStr">
        <is>
          <t>Income</t>
        </is>
      </c>
      <c r="C4" s="9" t="inlineStr">
        <is>
          <t>Spending</t>
        </is>
      </c>
      <c r="D4" s="9" t="inlineStr">
        <is>
          <t>Saved</t>
        </is>
      </c>
      <c r="E4" s="9" t="inlineStr">
        <is>
          <t>Savings rate</t>
        </is>
      </c>
      <c r="F4" s="9" t="inlineStr">
        <is>
          <t>Net worth</t>
        </is>
      </c>
    </row>
    <row r="5">
      <c r="A5" s="23" t="n">
        <v>46023</v>
      </c>
      <c r="B5" s="5" t="n"/>
      <c r="C5" s="5" t="n"/>
      <c r="D5" s="16">
        <f>IF(B5="","",B5-C5)</f>
        <v/>
      </c>
      <c r="E5" s="24">
        <f>IF(OR(B5="",B5=0),"",D5/B5)</f>
        <v/>
      </c>
      <c r="F5" s="5" t="n"/>
    </row>
    <row r="6">
      <c r="A6" s="23" t="n">
        <v>46054</v>
      </c>
      <c r="B6" s="5" t="n"/>
      <c r="C6" s="5" t="n"/>
      <c r="D6" s="16">
        <f>IF(B6="","",B6-C6)</f>
        <v/>
      </c>
      <c r="E6" s="24">
        <f>IF(OR(B6="",B6=0),"",D6/B6)</f>
        <v/>
      </c>
      <c r="F6" s="5" t="n"/>
    </row>
    <row r="7">
      <c r="A7" s="23" t="n">
        <v>46082</v>
      </c>
      <c r="B7" s="5" t="n"/>
      <c r="C7" s="5" t="n"/>
      <c r="D7" s="16">
        <f>IF(B7="","",B7-C7)</f>
        <v/>
      </c>
      <c r="E7" s="24">
        <f>IF(OR(B7="",B7=0),"",D7/B7)</f>
        <v/>
      </c>
      <c r="F7" s="5" t="n"/>
    </row>
    <row r="8">
      <c r="A8" s="23" t="n">
        <v>46113</v>
      </c>
      <c r="B8" s="5" t="n"/>
      <c r="C8" s="5" t="n"/>
      <c r="D8" s="16">
        <f>IF(B8="","",B8-C8)</f>
        <v/>
      </c>
      <c r="E8" s="24">
        <f>IF(OR(B8="",B8=0),"",D8/B8)</f>
        <v/>
      </c>
      <c r="F8" s="5" t="n"/>
    </row>
    <row r="9">
      <c r="A9" s="23" t="n">
        <v>46143</v>
      </c>
      <c r="B9" s="5" t="n"/>
      <c r="C9" s="5" t="n"/>
      <c r="D9" s="16">
        <f>IF(B9="","",B9-C9)</f>
        <v/>
      </c>
      <c r="E9" s="24">
        <f>IF(OR(B9="",B9=0),"",D9/B9)</f>
        <v/>
      </c>
      <c r="F9" s="5" t="n"/>
    </row>
    <row r="10">
      <c r="A10" s="23" t="n">
        <v>46174</v>
      </c>
      <c r="B10" s="5" t="n"/>
      <c r="C10" s="5" t="n"/>
      <c r="D10" s="16">
        <f>IF(B10="","",B10-C10)</f>
        <v/>
      </c>
      <c r="E10" s="24">
        <f>IF(OR(B10="",B10=0),"",D10/B10)</f>
        <v/>
      </c>
      <c r="F10" s="5" t="n"/>
    </row>
    <row r="11">
      <c r="A11" s="23" t="n">
        <v>46204</v>
      </c>
      <c r="B11" s="5" t="n"/>
      <c r="C11" s="5" t="n"/>
      <c r="D11" s="16">
        <f>IF(B11="","",B11-C11)</f>
        <v/>
      </c>
      <c r="E11" s="24">
        <f>IF(OR(B11="",B11=0),"",D11/B11)</f>
        <v/>
      </c>
      <c r="F11" s="5" t="n"/>
    </row>
    <row r="12">
      <c r="A12" s="23" t="n">
        <v>46235</v>
      </c>
      <c r="B12" s="5" t="n"/>
      <c r="C12" s="5" t="n"/>
      <c r="D12" s="16">
        <f>IF(B12="","",B12-C12)</f>
        <v/>
      </c>
      <c r="E12" s="24">
        <f>IF(OR(B12="",B12=0),"",D12/B12)</f>
        <v/>
      </c>
      <c r="F12" s="5" t="n"/>
    </row>
    <row r="13">
      <c r="A13" s="23" t="n">
        <v>46266</v>
      </c>
      <c r="B13" s="5" t="n"/>
      <c r="C13" s="5" t="n"/>
      <c r="D13" s="16">
        <f>IF(B13="","",B13-C13)</f>
        <v/>
      </c>
      <c r="E13" s="24">
        <f>IF(OR(B13="",B13=0),"",D13/B13)</f>
        <v/>
      </c>
      <c r="F13" s="5" t="n"/>
    </row>
    <row r="14">
      <c r="A14" s="23" t="n">
        <v>46296</v>
      </c>
      <c r="B14" s="5" t="n"/>
      <c r="C14" s="5" t="n"/>
      <c r="D14" s="16">
        <f>IF(B14="","",B14-C14)</f>
        <v/>
      </c>
      <c r="E14" s="24">
        <f>IF(OR(B14="",B14=0),"",D14/B14)</f>
        <v/>
      </c>
      <c r="F14" s="5" t="n"/>
    </row>
    <row r="15">
      <c r="A15" s="23" t="n">
        <v>46327</v>
      </c>
      <c r="B15" s="5" t="n"/>
      <c r="C15" s="5" t="n"/>
      <c r="D15" s="16">
        <f>IF(B15="","",B15-C15)</f>
        <v/>
      </c>
      <c r="E15" s="24">
        <f>IF(OR(B15="",B15=0),"",D15/B15)</f>
        <v/>
      </c>
      <c r="F15" s="5" t="n"/>
    </row>
    <row r="16">
      <c r="A16" s="23" t="n">
        <v>46357</v>
      </c>
      <c r="B16" s="5" t="n"/>
      <c r="C16" s="5" t="n"/>
      <c r="D16" s="16">
        <f>IF(B16="","",B16-C16)</f>
        <v/>
      </c>
      <c r="E16" s="24">
        <f>IF(OR(B16="",B16=0),"",D16/B16)</f>
        <v/>
      </c>
      <c r="F1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2026-09-14T23:54:25Z</dcterms:created>
  <dcterms:modified xsi:type="dcterms:W3CDTF">2026-09-14T23:54:25Z</dcterms:modified>
</cp:coreProperties>
</file>